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DMA worksheet" sheetId="2" state="visible" r:id="rId2"/>
    <sheet name="Scoring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E0A100"/>
      <sz val="12"/>
    </font>
    <font>
      <name val="Calibri"/>
      <b val="1"/>
      <color rgb="000E4D54"/>
      <sz val="20"/>
    </font>
    <font>
      <name val="Calibri"/>
      <color rgb="000F2A3F"/>
      <sz val="11"/>
    </font>
    <font>
      <name val="Calibri"/>
      <b val="1"/>
      <color rgb="000F2A3F"/>
      <sz val="11"/>
    </font>
    <font>
      <name val="Calibri"/>
      <i val="1"/>
      <color rgb="004A5A66"/>
      <sz val="10"/>
    </font>
    <font>
      <name val="Calibri"/>
      <b val="1"/>
      <color rgb="00FFFFFF"/>
      <sz val="12"/>
    </font>
    <font>
      <name val="Calibri"/>
      <b val="1"/>
      <color rgb="000E4D54"/>
      <sz val="12"/>
    </font>
    <font>
      <name val="Calibri"/>
      <i val="1"/>
      <color rgb="008A7F6A"/>
      <sz val="11"/>
    </font>
  </fonts>
  <fills count="4">
    <fill>
      <patternFill/>
    </fill>
    <fill>
      <patternFill patternType="gray125"/>
    </fill>
    <fill>
      <patternFill patternType="solid">
        <fgColor rgb="000E4D54"/>
      </patternFill>
    </fill>
    <fill>
      <patternFill patternType="solid">
        <fgColor rgb="00E0A100"/>
      </patternFill>
    </fill>
  </fills>
  <borders count="3">
    <border>
      <left/>
      <right/>
      <top/>
      <bottom/>
      <diagonal/>
    </border>
    <border>
      <bottom style="medium">
        <color rgb="00E0A100"/>
      </bottom>
    </border>
    <border>
      <left style="thin">
        <color rgb="00D8CCB4"/>
      </left>
      <right style="thin">
        <color rgb="00D8CCB4"/>
      </right>
      <top style="thin">
        <color rgb="00D8CCB4"/>
      </top>
      <bottom style="thin">
        <color rgb="00D8CCB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7" fillId="3" borderId="2" applyAlignment="1" pivotButton="0" quotePrefix="0" xfId="0">
      <alignment horizontal="center"/>
    </xf>
    <xf numFmtId="0" fontId="6" fillId="2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horizontal="center"/>
    </xf>
    <xf numFmtId="0" fontId="0" fillId="0" borderId="2" pivotButton="0" quotePrefix="0" xfId="0"/>
    <xf numFmtId="0" fontId="7" fillId="0" borderId="0" pivotButton="0" quotePrefix="0" xfId="0"/>
    <xf numFmtId="0" fontId="4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2" customWidth="1" min="2" max="2"/>
  </cols>
  <sheetData>
    <row r="2">
      <c r="B2" s="1" t="inlineStr">
        <is>
          <t>CSRD Tools</t>
        </is>
      </c>
    </row>
    <row r="3">
      <c r="B3" s="2" t="inlineStr">
        <is>
          <t>Double Materiality Assessment (DMA) Workbook</t>
        </is>
      </c>
    </row>
    <row r="4">
      <c r="B4" t="inlineStr"/>
    </row>
    <row r="5">
      <c r="B5" s="3" t="inlineStr">
        <is>
          <t>A free, vendor-neutral workbook to run the double materiality assessment that scopes your CSRD report.</t>
        </is>
      </c>
    </row>
    <row r="6">
      <c r="B6" s="3" t="inlineStr">
        <is>
          <t>It mirrors the on-page Materiality Matrix Builder at csrd-tools.com so you can take it from screen to</t>
        </is>
      </c>
    </row>
    <row r="7">
      <c r="B7" s="3" t="inlineStr">
        <is>
          <t>a documented, defensible file your auditor can follow.</t>
        </is>
      </c>
    </row>
    <row r="8">
      <c r="B8" t="inlineStr"/>
    </row>
    <row r="9">
      <c r="B9" s="4" t="inlineStr">
        <is>
          <t>What double materiality means</t>
        </is>
      </c>
    </row>
    <row r="10">
      <c r="B10" s="3" t="inlineStr">
        <is>
          <t>A sustainability matter is material - and must be reported - if it is material from EITHER perspective:</t>
        </is>
      </c>
    </row>
    <row r="11">
      <c r="B11" s="3" t="inlineStr">
        <is>
          <t xml:space="preserve">  - Impact materiality (inside-out): your effects on people and the environment, across the value chain.</t>
        </is>
      </c>
    </row>
    <row r="12">
      <c r="B12" s="3" t="inlineStr">
        <is>
          <t xml:space="preserve">  - Financial materiality (outside-in): sustainability matters that affect your cash flows, performance or</t>
        </is>
      </c>
    </row>
    <row r="13">
      <c r="B13" s="3" t="inlineStr">
        <is>
          <t xml:space="preserve">    access to finance.</t>
        </is>
      </c>
    </row>
    <row r="14">
      <c r="B14" s="3" t="inlineStr">
        <is>
          <t>A matter that is material under either lens is in scope. ESRS 2 general disclosures apply to everyone; the</t>
        </is>
      </c>
    </row>
    <row r="15">
      <c r="B15" s="3" t="inlineStr">
        <is>
          <t>topical standards (E1-E5, S1-S4, G1) apply where the DMA says the topic is material.</t>
        </is>
      </c>
    </row>
    <row r="16">
      <c r="B16" t="inlineStr"/>
    </row>
    <row r="17">
      <c r="B17" s="4" t="inlineStr">
        <is>
          <t>How to use it</t>
        </is>
      </c>
    </row>
    <row r="18">
      <c r="B18" s="3" t="inlineStr">
        <is>
          <t>1. Work down the 'DMA worksheet' tab. Each ESRS topic is pre-listed; add your own sub-topics/IROs as rows.</t>
        </is>
      </c>
    </row>
    <row r="19">
      <c r="B19" s="3" t="inlineStr">
        <is>
          <t>2. For each, describe the impact, risk or opportunity (IRO) and where in the value chain it sits.</t>
        </is>
      </c>
    </row>
    <row r="20">
      <c r="B20" s="3" t="inlineStr">
        <is>
          <t>3. Score Impact (0-5) and Financial (0-5) materiality using the 'Scoring guide' tab.</t>
        </is>
      </c>
    </row>
    <row r="21">
      <c r="B21" s="3" t="inlineStr">
        <is>
          <t>4. Set your materiality threshold (default 3) in cell B2 of the worksheet. 'Material?' and the standard to</t>
        </is>
      </c>
    </row>
    <row r="22">
      <c r="B22" s="3" t="inlineStr">
        <is>
          <t xml:space="preserve">   apply calculate automatically. Engage stakeholders to validate before you finalise.</t>
        </is>
      </c>
    </row>
    <row r="23">
      <c r="B23" t="inlineStr"/>
    </row>
    <row r="24">
      <c r="B24" s="4" t="inlineStr">
        <is>
          <t>Important</t>
        </is>
      </c>
    </row>
    <row r="25">
      <c r="B25" s="5" t="inlineStr">
        <is>
          <t>This is a working template to structure your assessment, not legal advice or a substitute for it. The revised</t>
        </is>
      </c>
    </row>
    <row r="26">
      <c r="B26" s="5" t="inlineStr">
        <is>
          <t>(simplified) ESRS are expected to apply from FY2027 - confirm the current standard and your thresholds, or</t>
        </is>
      </c>
    </row>
    <row r="27">
      <c r="B27" s="5" t="inlineStr">
        <is>
          <t>work with a qualified adviser. Updates and plain-English guides: csrd-tools.com | The CSRD Brief.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6" customWidth="1" min="3" max="3"/>
    <col width="18" customWidth="1" min="4" max="4"/>
    <col width="12" customWidth="1" min="5" max="5"/>
    <col width="13" customWidth="1" min="6" max="6"/>
    <col width="14" customWidth="1" min="7" max="7"/>
    <col width="16" customWidth="1" min="8" max="8"/>
  </cols>
  <sheetData>
    <row r="1">
      <c r="A1" s="6" t="inlineStr">
        <is>
          <t>DMA worksheet</t>
        </is>
      </c>
    </row>
    <row r="2">
      <c r="A2" s="4" t="inlineStr">
        <is>
          <t>Materiality threshold:</t>
        </is>
      </c>
      <c r="B2" s="7" t="n">
        <v>3</v>
      </c>
      <c r="C2" s="5" t="inlineStr">
        <is>
          <t>A topic is material if Impact OR Financial score is at or above this (0-5).</t>
        </is>
      </c>
    </row>
    <row r="4" ht="30" customHeight="1">
      <c r="A4" s="8" t="inlineStr">
        <is>
          <t>ESRS topic</t>
        </is>
      </c>
      <c r="B4" s="8" t="inlineStr">
        <is>
          <t>Sub-topic / IRO</t>
        </is>
      </c>
      <c r="C4" s="8" t="inlineStr">
        <is>
          <t>IRO type</t>
        </is>
      </c>
      <c r="D4" s="8" t="inlineStr">
        <is>
          <t>Value-chain stage</t>
        </is>
      </c>
      <c r="E4" s="8" t="inlineStr">
        <is>
          <t>Impact (0-5)</t>
        </is>
      </c>
      <c r="F4" s="8" t="inlineStr">
        <is>
          <t>Financial (0-5)</t>
        </is>
      </c>
      <c r="G4" s="8" t="inlineStr">
        <is>
          <t>Material?</t>
        </is>
      </c>
      <c r="H4" s="8" t="inlineStr">
        <is>
          <t>Disclose under</t>
        </is>
      </c>
    </row>
    <row r="5">
      <c r="A5" s="9" t="inlineStr">
        <is>
          <t>ESRS E1 Climate change</t>
        </is>
      </c>
      <c r="B5" s="10" t="inlineStr">
        <is>
          <t>GHG emissions / transition plan</t>
        </is>
      </c>
      <c r="C5" s="11" t="n"/>
      <c r="D5" s="11" t="n"/>
      <c r="E5" s="12" t="n"/>
      <c r="F5" s="12" t="n"/>
      <c r="G5" s="12">
        <f>IF(AND(ISNUMBER(E5),ISNUMBER(F5))=FALSE,"",IF(OR(E5&gt;=$B$2,F5&gt;=$B$2),"Material","Not material"))</f>
        <v/>
      </c>
      <c r="H5" s="12">
        <f>IF(G5="Material","ESRS E1","-")</f>
        <v/>
      </c>
    </row>
    <row r="6">
      <c r="A6" s="9" t="inlineStr">
        <is>
          <t>ESRS E2 Pollution</t>
        </is>
      </c>
      <c r="B6" s="10" t="inlineStr">
        <is>
          <t>Air, water, soil pollution; substances of concern</t>
        </is>
      </c>
      <c r="C6" s="11" t="n"/>
      <c r="D6" s="11" t="n"/>
      <c r="E6" s="12" t="n"/>
      <c r="F6" s="12" t="n"/>
      <c r="G6" s="12">
        <f>IF(AND(ISNUMBER(E6),ISNUMBER(F6))=FALSE,"",IF(OR(E6&gt;=$B$2,F6&gt;=$B$2),"Material","Not material"))</f>
        <v/>
      </c>
      <c r="H6" s="12">
        <f>IF(G6="Material","ESRS E2","-")</f>
        <v/>
      </c>
    </row>
    <row r="7">
      <c r="A7" s="9" t="inlineStr">
        <is>
          <t>ESRS E3 Water &amp; marine resources</t>
        </is>
      </c>
      <c r="B7" s="10" t="inlineStr">
        <is>
          <t>Water consumption / withdrawals</t>
        </is>
      </c>
      <c r="C7" s="11" t="n"/>
      <c r="D7" s="11" t="n"/>
      <c r="E7" s="12" t="n"/>
      <c r="F7" s="12" t="n"/>
      <c r="G7" s="12">
        <f>IF(AND(ISNUMBER(E7),ISNUMBER(F7))=FALSE,"",IF(OR(E7&gt;=$B$2,F7&gt;=$B$2),"Material","Not material"))</f>
        <v/>
      </c>
      <c r="H7" s="12">
        <f>IF(G7="Material","ESRS E3","-")</f>
        <v/>
      </c>
    </row>
    <row r="8">
      <c r="A8" s="9" t="inlineStr">
        <is>
          <t>ESRS E4 Biodiversity &amp; ecosystems</t>
        </is>
      </c>
      <c r="B8" s="10" t="inlineStr">
        <is>
          <t>Impacts / dependencies on nature</t>
        </is>
      </c>
      <c r="C8" s="11" t="n"/>
      <c r="D8" s="11" t="n"/>
      <c r="E8" s="12" t="n"/>
      <c r="F8" s="12" t="n"/>
      <c r="G8" s="12">
        <f>IF(AND(ISNUMBER(E8),ISNUMBER(F8))=FALSE,"",IF(OR(E8&gt;=$B$2,F8&gt;=$B$2),"Material","Not material"))</f>
        <v/>
      </c>
      <c r="H8" s="12">
        <f>IF(G8="Material","ESRS E4","-")</f>
        <v/>
      </c>
    </row>
    <row r="9">
      <c r="A9" s="9" t="inlineStr">
        <is>
          <t>ESRS E5 Resource use &amp; circular economy</t>
        </is>
      </c>
      <c r="B9" s="10" t="inlineStr">
        <is>
          <t>Material inflows/outflows; waste</t>
        </is>
      </c>
      <c r="C9" s="11" t="n"/>
      <c r="D9" s="11" t="n"/>
      <c r="E9" s="12" t="n"/>
      <c r="F9" s="12" t="n"/>
      <c r="G9" s="12">
        <f>IF(AND(ISNUMBER(E9),ISNUMBER(F9))=FALSE,"",IF(OR(E9&gt;=$B$2,F9&gt;=$B$2),"Material","Not material"))</f>
        <v/>
      </c>
      <c r="H9" s="12">
        <f>IF(G9="Material","ESRS E5","-")</f>
        <v/>
      </c>
    </row>
    <row r="10">
      <c r="A10" s="9" t="inlineStr">
        <is>
          <t>ESRS S1 Own workforce</t>
        </is>
      </c>
      <c r="B10" s="10" t="inlineStr">
        <is>
          <t>Working conditions, H&amp;S, pay, diversity</t>
        </is>
      </c>
      <c r="C10" s="11" t="n"/>
      <c r="D10" s="11" t="n"/>
      <c r="E10" s="12" t="n"/>
      <c r="F10" s="12" t="n"/>
      <c r="G10" s="12">
        <f>IF(AND(ISNUMBER(E10),ISNUMBER(F10))=FALSE,"",IF(OR(E10&gt;=$B$2,F10&gt;=$B$2),"Material","Not material"))</f>
        <v/>
      </c>
      <c r="H10" s="12">
        <f>IF(G10="Material","ESRS S1","-")</f>
        <v/>
      </c>
    </row>
    <row r="11">
      <c r="A11" s="9" t="inlineStr">
        <is>
          <t>ESRS S2 Workers in the value chain</t>
        </is>
      </c>
      <c r="B11" s="10" t="inlineStr">
        <is>
          <t>Labour conditions up/downstream</t>
        </is>
      </c>
      <c r="C11" s="11" t="n"/>
      <c r="D11" s="11" t="n"/>
      <c r="E11" s="12" t="n"/>
      <c r="F11" s="12" t="n"/>
      <c r="G11" s="12">
        <f>IF(AND(ISNUMBER(E11),ISNUMBER(F11))=FALSE,"",IF(OR(E11&gt;=$B$2,F11&gt;=$B$2),"Material","Not material"))</f>
        <v/>
      </c>
      <c r="H11" s="12">
        <f>IF(G11="Material","ESRS S2","-")</f>
        <v/>
      </c>
    </row>
    <row r="12">
      <c r="A12" s="9" t="inlineStr">
        <is>
          <t>ESRS S3 Affected communities</t>
        </is>
      </c>
      <c r="B12" s="10" t="inlineStr">
        <is>
          <t>Impacts on local / indigenous communities</t>
        </is>
      </c>
      <c r="C12" s="11" t="n"/>
      <c r="D12" s="11" t="n"/>
      <c r="E12" s="12" t="n"/>
      <c r="F12" s="12" t="n"/>
      <c r="G12" s="12">
        <f>IF(AND(ISNUMBER(E12),ISNUMBER(F12))=FALSE,"",IF(OR(E12&gt;=$B$2,F12&gt;=$B$2),"Material","Not material"))</f>
        <v/>
      </c>
      <c r="H12" s="12">
        <f>IF(G12="Material","ESRS S3","-")</f>
        <v/>
      </c>
    </row>
    <row r="13">
      <c r="A13" s="9" t="inlineStr">
        <is>
          <t>ESRS S4 Consumers &amp; end-users</t>
        </is>
      </c>
      <c r="B13" s="10" t="inlineStr">
        <is>
          <t>Product safety, data privacy, inclusion</t>
        </is>
      </c>
      <c r="C13" s="11" t="n"/>
      <c r="D13" s="11" t="n"/>
      <c r="E13" s="12" t="n"/>
      <c r="F13" s="12" t="n"/>
      <c r="G13" s="12">
        <f>IF(AND(ISNUMBER(E13),ISNUMBER(F13))=FALSE,"",IF(OR(E13&gt;=$B$2,F13&gt;=$B$2),"Material","Not material"))</f>
        <v/>
      </c>
      <c r="H13" s="12">
        <f>IF(G13="Material","ESRS S4","-")</f>
        <v/>
      </c>
    </row>
    <row r="14">
      <c r="A14" s="9" t="inlineStr">
        <is>
          <t>ESRS G1 Business conduct</t>
        </is>
      </c>
      <c r="B14" s="10" t="inlineStr">
        <is>
          <t>Anti-corruption, lobbying, payment practices</t>
        </is>
      </c>
      <c r="C14" s="11" t="n"/>
      <c r="D14" s="11" t="n"/>
      <c r="E14" s="12" t="n"/>
      <c r="F14" s="12" t="n"/>
      <c r="G14" s="12">
        <f>IF(AND(ISNUMBER(E14),ISNUMBER(F14))=FALSE,"",IF(OR(E14&gt;=$B$2,F14&gt;=$B$2),"Material","Not material"))</f>
        <v/>
      </c>
      <c r="H14" s="12">
        <f>IF(G14="Material","ESRS G1","-")</f>
        <v/>
      </c>
    </row>
    <row r="15">
      <c r="A15" s="13" t="n"/>
      <c r="B15" s="13" t="n"/>
      <c r="C15" s="13" t="n"/>
      <c r="D15" s="13" t="n"/>
      <c r="E15" s="13" t="n"/>
      <c r="F15" s="13" t="n"/>
      <c r="G15" s="12">
        <f>IF(AND(ISNUMBER(E15),ISNUMBER(F15))=FALSE,"",IF(OR(E15&gt;=$B$2,F15&gt;=$B$2),"Material","Not material"))</f>
        <v/>
      </c>
      <c r="H15" s="12">
        <f>IF(G15="Material","Add ESRS","-")</f>
        <v/>
      </c>
    </row>
    <row r="16">
      <c r="A16" s="13" t="n"/>
      <c r="B16" s="13" t="n"/>
      <c r="C16" s="13" t="n"/>
      <c r="D16" s="13" t="n"/>
      <c r="E16" s="13" t="n"/>
      <c r="F16" s="13" t="n"/>
      <c r="G16" s="12">
        <f>IF(AND(ISNUMBER(E16),ISNUMBER(F16))=FALSE,"",IF(OR(E16&gt;=$B$2,F16&gt;=$B$2),"Material","Not material"))</f>
        <v/>
      </c>
      <c r="H16" s="12">
        <f>IF(G16="Material","Add ESRS","-")</f>
        <v/>
      </c>
    </row>
    <row r="17">
      <c r="A17" s="13" t="n"/>
      <c r="B17" s="13" t="n"/>
      <c r="C17" s="13" t="n"/>
      <c r="D17" s="13" t="n"/>
      <c r="E17" s="13" t="n"/>
      <c r="F17" s="13" t="n"/>
      <c r="G17" s="12">
        <f>IF(AND(ISNUMBER(E17),ISNUMBER(F17))=FALSE,"",IF(OR(E17&gt;=$B$2,F17&gt;=$B$2),"Material","Not material"))</f>
        <v/>
      </c>
      <c r="H17" s="12">
        <f>IF(G17="Material","Add ESRS","-")</f>
        <v/>
      </c>
    </row>
    <row r="18">
      <c r="A18" s="13" t="n"/>
      <c r="B18" s="13" t="n"/>
      <c r="C18" s="13" t="n"/>
      <c r="D18" s="13" t="n"/>
      <c r="E18" s="13" t="n"/>
      <c r="F18" s="13" t="n"/>
      <c r="G18" s="12">
        <f>IF(AND(ISNUMBER(E18),ISNUMBER(F18))=FALSE,"",IF(OR(E18&gt;=$B$2,F18&gt;=$B$2),"Material","Not material"))</f>
        <v/>
      </c>
      <c r="H18" s="12">
        <f>IF(G18="Material","Add ESRS","-")</f>
        <v/>
      </c>
    </row>
    <row r="19">
      <c r="A19" s="13" t="n"/>
      <c r="B19" s="13" t="n"/>
      <c r="C19" s="13" t="n"/>
      <c r="D19" s="13" t="n"/>
      <c r="E19" s="13" t="n"/>
      <c r="F19" s="13" t="n"/>
      <c r="G19" s="12">
        <f>IF(AND(ISNUMBER(E19),ISNUMBER(F19))=FALSE,"",IF(OR(E19&gt;=$B$2,F19&gt;=$B$2),"Material","Not material"))</f>
        <v/>
      </c>
      <c r="H19" s="12">
        <f>IF(G19="Material","Add ESRS","-")</f>
        <v/>
      </c>
    </row>
    <row r="20">
      <c r="A20" s="13" t="n"/>
      <c r="B20" s="13" t="n"/>
      <c r="C20" s="13" t="n"/>
      <c r="D20" s="13" t="n"/>
      <c r="E20" s="13" t="n"/>
      <c r="F20" s="13" t="n"/>
      <c r="G20" s="12">
        <f>IF(AND(ISNUMBER(E20),ISNUMBER(F20))=FALSE,"",IF(OR(E20&gt;=$B$2,F20&gt;=$B$2),"Material","Not material"))</f>
        <v/>
      </c>
      <c r="H20" s="12">
        <f>IF(G20="Material","Add ESRS","-")</f>
        <v/>
      </c>
    </row>
    <row r="21">
      <c r="A21" s="13" t="n"/>
      <c r="B21" s="13" t="n"/>
      <c r="C21" s="13" t="n"/>
      <c r="D21" s="13" t="n"/>
      <c r="E21" s="13" t="n"/>
      <c r="F21" s="13" t="n"/>
      <c r="G21" s="12">
        <f>IF(AND(ISNUMBER(E21),ISNUMBER(F21))=FALSE,"",IF(OR(E21&gt;=$B$2,F21&gt;=$B$2),"Material","Not material"))</f>
        <v/>
      </c>
      <c r="H21" s="12">
        <f>IF(G21="Material","Add ESRS","-")</f>
        <v/>
      </c>
    </row>
    <row r="22">
      <c r="A22" s="13" t="n"/>
      <c r="B22" s="13" t="n"/>
      <c r="C22" s="13" t="n"/>
      <c r="D22" s="13" t="n"/>
      <c r="E22" s="13" t="n"/>
      <c r="F22" s="13" t="n"/>
      <c r="G22" s="12">
        <f>IF(AND(ISNUMBER(E22),ISNUMBER(F22))=FALSE,"",IF(OR(E22&gt;=$B$2,F22&gt;=$B$2),"Material","Not material"))</f>
        <v/>
      </c>
      <c r="H22" s="12">
        <f>IF(G22="Material","Add ESRS","-")</f>
        <v/>
      </c>
    </row>
    <row r="24">
      <c r="A24" s="4" t="inlineStr">
        <is>
          <t>Material topics:</t>
        </is>
      </c>
      <c r="B24" s="14">
        <f>COUNTIF(G5:G22,"Material")</f>
        <v/>
      </c>
    </row>
    <row r="25">
      <c r="A25" s="5" t="inlineStr">
        <is>
          <t>ESRS 2 General disclosures are mandatory for every reporter, regardless of the result above.</t>
        </is>
      </c>
    </row>
  </sheetData>
  <mergeCells count="2">
    <mergeCell ref="A25:H25"/>
    <mergeCell ref="C2:H2"/>
  </mergeCells>
  <dataValidations count="1">
    <dataValidation sqref="C5 C6 C7 C8 C9 C10 C11 C12 C13 C14 C15 C16 C17 C18 C19 C20 C21 C22" showDropDown="0" showInputMessage="0" showErrorMessage="0" allowBlank="1" type="list">
      <formula1>"Impact,Risk,Opportunity,Impact+Risk"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50" customWidth="1" min="3" max="3"/>
  </cols>
  <sheetData>
    <row r="1">
      <c r="A1" s="6" t="inlineStr">
        <is>
          <t>Scoring guide</t>
        </is>
      </c>
    </row>
    <row r="2">
      <c r="A2" s="5" t="inlineStr">
        <is>
          <t>Use a consistent 0-5 scale for both axes. Document your reasoning per topic on the worksheet.</t>
        </is>
      </c>
    </row>
    <row r="4" ht="30" customHeight="1">
      <c r="A4" s="8" t="inlineStr">
        <is>
          <t>Score</t>
        </is>
      </c>
      <c r="B4" s="8" t="inlineStr">
        <is>
          <t>Impact materiality (severity x likelihood)</t>
        </is>
      </c>
      <c r="C4" s="8" t="inlineStr">
        <is>
          <t>Financial materiality (magnitude x likelihood)</t>
        </is>
      </c>
    </row>
    <row r="5">
      <c r="A5" s="15" t="n">
        <v>0</v>
      </c>
      <c r="B5" s="9" t="inlineStr">
        <is>
          <t>No impact on people or environment.</t>
        </is>
      </c>
      <c r="C5" s="9" t="inlineStr">
        <is>
          <t>No financial effect.</t>
        </is>
      </c>
    </row>
    <row r="6">
      <c r="A6" s="15" t="n">
        <v>1</v>
      </c>
      <c r="B6" s="9" t="inlineStr">
        <is>
          <t>Minimal / very localised impact, easily remedied.</t>
        </is>
      </c>
      <c r="C6" s="9" t="inlineStr">
        <is>
          <t>Negligible effect on cash flows or position.</t>
        </is>
      </c>
    </row>
    <row r="7">
      <c r="A7" s="15" t="n">
        <v>2</v>
      </c>
      <c r="B7" s="9" t="inlineStr">
        <is>
          <t>Minor impact, limited scope, reversible.</t>
        </is>
      </c>
      <c r="C7" s="9" t="inlineStr">
        <is>
          <t>Minor effect; manageable within normal operations.</t>
        </is>
      </c>
    </row>
    <row r="8">
      <c r="A8" s="15" t="n">
        <v>3</v>
      </c>
      <c r="B8" s="9" t="inlineStr">
        <is>
          <t>Moderate impact or moderately likely - around the threshold.</t>
        </is>
      </c>
      <c r="C8" s="9" t="inlineStr">
        <is>
          <t>Moderate, plausible effect on performance or cost of capital.</t>
        </is>
      </c>
    </row>
    <row r="9">
      <c r="A9" s="15" t="n">
        <v>4</v>
      </c>
      <c r="B9" s="9" t="inlineStr">
        <is>
          <t>Severe or widespread impact, hard to remedy.</t>
        </is>
      </c>
      <c r="C9" s="9" t="inlineStr">
        <is>
          <t>Significant effect on cash flows, financing or strategy.</t>
        </is>
      </c>
    </row>
    <row r="10">
      <c r="A10" s="15" t="n">
        <v>5</v>
      </c>
      <c r="B10" s="9" t="inlineStr">
        <is>
          <t>Very severe / systemic impact, likely, irremediable.</t>
        </is>
      </c>
      <c r="C10" s="9" t="inlineStr">
        <is>
          <t>Major, near-certain effect on the business model or viability.</t>
        </is>
      </c>
    </row>
    <row r="12">
      <c r="A12" s="5" t="inlineStr">
        <is>
          <t>Tip: a matter counts as material if EITHER score meets your threshold - it does not need both.</t>
        </is>
      </c>
    </row>
  </sheetData>
  <mergeCells count="2">
    <mergeCell ref="A12:C12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2026-06-08T15:52:16Z</dcterms:created>
  <dcterms:modified xsi:type="dcterms:W3CDTF">2026-06-08T15:52:16Z</dcterms:modified>
</cp:coreProperties>
</file>