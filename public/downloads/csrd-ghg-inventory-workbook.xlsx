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ummary" sheetId="2" state="visible" r:id="rId2"/>
    <sheet name="1. Scope 1" sheetId="3" state="visible" r:id="rId3"/>
    <sheet name="2. Scope 2" sheetId="4" state="visible" r:id="rId4"/>
    <sheet name="3. Scope 3" sheetId="5" state="visible" r:id="rId5"/>
    <sheet name="Factor libr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###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E0A100"/>
      <sz val="12"/>
    </font>
    <font>
      <name val="Calibri"/>
      <b val="1"/>
      <color rgb="000E4D54"/>
      <sz val="20"/>
    </font>
    <font>
      <name val="Calibri"/>
      <color rgb="000F2A3F"/>
      <sz val="11"/>
    </font>
    <font>
      <name val="Calibri"/>
      <b val="1"/>
      <color rgb="000F2A3F"/>
      <sz val="11"/>
    </font>
    <font>
      <name val="Calibri"/>
      <i val="1"/>
      <color rgb="004A5A66"/>
      <sz val="10"/>
    </font>
    <font>
      <name val="Calibri"/>
      <b val="1"/>
      <color rgb="00FFFFFF"/>
      <sz val="13"/>
    </font>
    <font>
      <name val="Calibri"/>
      <i val="1"/>
      <color rgb="008A7F6A"/>
      <sz val="11"/>
    </font>
    <font>
      <name val="Calibri"/>
      <b val="1"/>
      <color rgb="000E4D54"/>
      <sz val="12"/>
    </font>
  </fonts>
  <fills count="4">
    <fill>
      <patternFill/>
    </fill>
    <fill>
      <patternFill patternType="gray125"/>
    </fill>
    <fill>
      <patternFill patternType="solid">
        <fgColor rgb="000E4D54"/>
      </patternFill>
    </fill>
    <fill>
      <patternFill patternType="solid">
        <fgColor rgb="00E8DFCF"/>
      </patternFill>
    </fill>
  </fills>
  <borders count="3">
    <border>
      <left/>
      <right/>
      <top/>
      <bottom/>
      <diagonal/>
    </border>
    <border>
      <bottom style="medium">
        <color rgb="00E0A100"/>
      </bottom>
    </border>
    <border>
      <left style="thin">
        <color rgb="00D8CCB4"/>
      </left>
      <right style="thin">
        <color rgb="00D8CCB4"/>
      </right>
      <top style="thin">
        <color rgb="00D8CCB4"/>
      </top>
      <bottom style="thin">
        <color rgb="00D8CCB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2" applyAlignment="1" pivotButton="0" quotePrefix="0" xfId="0">
      <alignment horizontal="left" vertical="center"/>
    </xf>
    <xf numFmtId="0" fontId="3" fillId="0" borderId="2" pivotButton="0" quotePrefix="0" xfId="0"/>
    <xf numFmtId="4" fontId="3" fillId="0" borderId="2" pivotButton="0" quotePrefix="0" xfId="0"/>
    <xf numFmtId="165" fontId="3" fillId="0" borderId="2" pivotButton="0" quotePrefix="0" xfId="0"/>
    <xf numFmtId="0" fontId="8" fillId="3" borderId="2" pivotButton="0" quotePrefix="0" xfId="0"/>
    <xf numFmtId="4" fontId="8" fillId="3" borderId="2" pivotButton="0" quotePrefix="0" xfId="0"/>
    <xf numFmtId="0" fontId="0" fillId="3" borderId="2" pivotButton="0" quotePrefix="0" xfId="0"/>
    <xf numFmtId="0" fontId="5" fillId="0" borderId="0" applyAlignment="1" pivotButton="0" quotePrefix="0" xfId="0">
      <alignment wrapText="1"/>
    </xf>
    <xf numFmtId="0" fontId="6" fillId="2" borderId="2" applyAlignment="1" pivotButton="0" quotePrefix="0" xfId="0">
      <alignment horizontal="left" vertical="center" wrapText="1"/>
    </xf>
    <xf numFmtId="0" fontId="7" fillId="0" borderId="2" pivotButton="0" quotePrefix="0" xfId="0"/>
    <xf numFmtId="0" fontId="7" fillId="0" borderId="2" applyAlignment="1" pivotButton="0" quotePrefix="0" xfId="0">
      <alignment horizontal="right"/>
    </xf>
    <xf numFmtId="4" fontId="7" fillId="0" borderId="0" pivotButton="0" quotePrefix="0" xfId="0"/>
    <xf numFmtId="0" fontId="8" fillId="3" borderId="2" applyAlignment="1" pivotButton="0" quotePrefix="0" xfId="0">
      <alignment horizontal="right"/>
    </xf>
    <xf numFmtId="0" fontId="0" fillId="0" borderId="2" pivotButton="0" quotePrefix="0" xfId="0"/>
    <xf numFmtId="4" fontId="0" fillId="0" borderId="2" pivotButton="0" quotePrefix="0" xfId="0"/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CSRD Tools</t>
        </is>
      </c>
    </row>
    <row r="3">
      <c r="B3" s="2" t="inlineStr">
        <is>
          <t>GHG Inventory Workbook &amp; Emission-Factor Library</t>
        </is>
      </c>
    </row>
    <row r="4">
      <c r="B4" t="inlineStr"/>
    </row>
    <row r="5">
      <c r="B5" s="3" t="inlineStr">
        <is>
          <t>A free, vendor-neutral starter workbook for building a greenhouse-gas inventory aligned with the</t>
        </is>
      </c>
    </row>
    <row r="6">
      <c r="B6" s="3" t="inlineStr">
        <is>
          <t>GHG Protocol Corporate Standard and ESRS E1 (Climate change) under the CSRD.</t>
        </is>
      </c>
    </row>
    <row r="7">
      <c r="B7" t="inlineStr"/>
    </row>
    <row r="8">
      <c r="B8" s="4" t="inlineStr">
        <is>
          <t>How to use it</t>
        </is>
      </c>
    </row>
    <row r="9">
      <c r="B9" s="3" t="inlineStr">
        <is>
          <t>1. Set your reporting boundary and base year, then work through each scope tab.</t>
        </is>
      </c>
    </row>
    <row r="10">
      <c r="B10" s="3" t="inlineStr">
        <is>
          <t>2. Enter your activity data (fuel, electricity, spend, distances...) and an emission factor.</t>
        </is>
      </c>
    </row>
    <row r="11">
      <c r="B11" s="3" t="inlineStr">
        <is>
          <t>3. The Emissions (tCO2e) column and the Summary tab calculate automatically.</t>
        </is>
      </c>
    </row>
    <row r="12">
      <c r="B12" s="3" t="inlineStr">
        <is>
          <t>4. Use the Factor library tab for starter factors - always replace with dated, source-cited</t>
        </is>
      </c>
    </row>
    <row r="13">
      <c r="B13" s="3" t="inlineStr">
        <is>
          <t xml:space="preserve">   factors for your country and reporting year before you report.</t>
        </is>
      </c>
    </row>
    <row r="14">
      <c r="B14" t="inlineStr"/>
    </row>
    <row r="15">
      <c r="B15" s="4" t="inlineStr">
        <is>
          <t>The three scopes (GHG Protocol)</t>
        </is>
      </c>
    </row>
    <row r="16">
      <c r="B16" s="3" t="inlineStr">
        <is>
          <t>Scope 1 - direct emissions from sources you own or control (fuel combustion, company vehicles, fugitive).</t>
        </is>
      </c>
    </row>
    <row r="17">
      <c r="B17" s="3" t="inlineStr">
        <is>
          <t>Scope 2 - indirect emissions from purchased electricity, heat, steam and cooling (location- and market-based).</t>
        </is>
      </c>
    </row>
    <row r="18">
      <c r="B18" s="3" t="inlineStr">
        <is>
          <t>Scope 3 - all other value-chain emissions, across the 15 categories (usually the largest share).</t>
        </is>
      </c>
    </row>
    <row r="19">
      <c r="B19" t="inlineStr"/>
    </row>
    <row r="20">
      <c r="B20" s="4" t="inlineStr">
        <is>
          <t>Important</t>
        </is>
      </c>
    </row>
    <row r="21">
      <c r="B21" s="5" t="inlineStr">
        <is>
          <t>This is a screening/orientation template, not a reportable figure or legal advice. ESRS E1 and emission-factor</t>
        </is>
      </c>
    </row>
    <row r="22">
      <c r="B22" s="5" t="inlineStr">
        <is>
          <t>guidance change - confirm against the GHG Protocol and dated factors, or with a qualified adviser.</t>
        </is>
      </c>
    </row>
    <row r="23">
      <c r="B23" s="5" t="inlineStr">
        <is>
          <t>The revised ESRS (simplified datapoints) are expected to apply from FY2027; check csrd-tools.com for updates.</t>
        </is>
      </c>
    </row>
    <row r="24">
      <c r="B24" t="inlineStr"/>
    </row>
    <row r="25">
      <c r="B25" s="3" t="inlineStr">
        <is>
          <t>More tools and plain-English guides: csrd-tools.com  |  Updates: The CSRD Brief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0" customWidth="1" min="3" max="3"/>
    <col width="16" customWidth="1" min="4" max="4"/>
  </cols>
  <sheetData>
    <row r="2">
      <c r="B2" s="6" t="inlineStr">
        <is>
          <t>GHG inventory summary</t>
        </is>
      </c>
    </row>
    <row r="3">
      <c r="B3" s="5" t="inlineStr">
        <is>
          <t>Totals pull automatically from the scope tabs.</t>
        </is>
      </c>
    </row>
    <row r="5">
      <c r="B5" s="7" t="inlineStr">
        <is>
          <t>Scope</t>
        </is>
      </c>
      <c r="C5" s="7" t="inlineStr">
        <is>
          <t>Emissions (tCO2e)</t>
        </is>
      </c>
      <c r="D5" s="7" t="inlineStr">
        <is>
          <t>Share</t>
        </is>
      </c>
    </row>
    <row r="6">
      <c r="B6" s="8" t="inlineStr">
        <is>
          <t>Scope 1 - direct</t>
        </is>
      </c>
      <c r="C6" s="9">
        <f>'1. Scope 1'!F20</f>
        <v/>
      </c>
      <c r="D6" s="10">
        <f>IF($C$9&gt;0,C6/$C$9,"")</f>
        <v/>
      </c>
    </row>
    <row r="7">
      <c r="B7" s="8" t="inlineStr">
        <is>
          <t>Scope 2 - purchased energy (location-based)</t>
        </is>
      </c>
      <c r="C7" s="9">
        <f>'2. Scope 2'!F20</f>
        <v/>
      </c>
      <c r="D7" s="10">
        <f>IF($C$9&gt;0,C7/$C$9,"")</f>
        <v/>
      </c>
    </row>
    <row r="8">
      <c r="B8" s="8" t="inlineStr">
        <is>
          <t>Scope 3 - value chain</t>
        </is>
      </c>
      <c r="C8" s="9">
        <f>'3. Scope 3'!F20</f>
        <v/>
      </c>
      <c r="D8" s="10">
        <f>IF($C$9&gt;0,C8/$C$9,"")</f>
        <v/>
      </c>
    </row>
    <row r="9">
      <c r="B9" s="11" t="inlineStr">
        <is>
          <t>Total (Scope 1+2+3)</t>
        </is>
      </c>
      <c r="C9" s="12">
        <f>SUM(C6:C8)</f>
        <v/>
      </c>
      <c r="D9" s="13" t="n"/>
    </row>
    <row r="11">
      <c r="B11" s="5" t="inlineStr">
        <is>
          <t>Note: Scope 2 market-based is tracked on the Scope 2 tab; report both location- and market-based.</t>
        </is>
      </c>
    </row>
  </sheetData>
  <mergeCells count="1">
    <mergeCell ref="B11:D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2" customWidth="1" min="4" max="4"/>
    <col width="22" customWidth="1" min="5" max="5"/>
    <col width="18" customWidth="1" min="6" max="6"/>
  </cols>
  <sheetData>
    <row r="1">
      <c r="A1" s="6" t="inlineStr">
        <is>
          <t>1. Scope 1</t>
        </is>
      </c>
    </row>
    <row r="2">
      <c r="A2" s="14" t="inlineStr">
        <is>
          <t>Direct emissions from sources you own or control. Replace example rows with your own.</t>
        </is>
      </c>
    </row>
    <row r="4" ht="28" customHeight="1">
      <c r="A4" s="15" t="inlineStr">
        <is>
          <t>Activity / source</t>
        </is>
      </c>
      <c r="B4" s="15" t="inlineStr">
        <is>
          <t>Notes</t>
        </is>
      </c>
      <c r="C4" s="15" t="inlineStr">
        <is>
          <t>Activity data</t>
        </is>
      </c>
      <c r="D4" s="15" t="inlineStr">
        <is>
          <t>Unit</t>
        </is>
      </c>
      <c r="E4" s="15" t="inlineStr">
        <is>
          <t>Emission factor (kgCO2e / unit)</t>
        </is>
      </c>
      <c r="F4" s="15" t="inlineStr">
        <is>
          <t>Emissions (tCO2e)</t>
        </is>
      </c>
    </row>
    <row r="5">
      <c r="A5" s="16" t="inlineStr">
        <is>
          <t>Natural gas - heating</t>
        </is>
      </c>
      <c r="B5" s="16" t="inlineStr">
        <is>
          <t>Site boilers</t>
        </is>
      </c>
      <c r="C5" s="17" t="n">
        <v>120000</v>
      </c>
      <c r="D5" s="16" t="inlineStr">
        <is>
          <t>kWh</t>
        </is>
      </c>
      <c r="E5" s="17" t="n">
        <v>0.182</v>
      </c>
      <c r="F5" s="18">
        <f>IF(AND(ISNUMBER(C5),ISNUMBER(E5)),C5*E5/1000,"")</f>
        <v/>
      </c>
    </row>
    <row r="6">
      <c r="A6" s="16" t="inlineStr">
        <is>
          <t>Diesel - company vans</t>
        </is>
      </c>
      <c r="B6" s="16" t="inlineStr">
        <is>
          <t>Owned fleet</t>
        </is>
      </c>
      <c r="C6" s="17" t="n">
        <v>8000</v>
      </c>
      <c r="D6" s="16" t="inlineStr">
        <is>
          <t>litres</t>
        </is>
      </c>
      <c r="E6" s="17" t="n">
        <v>2.51</v>
      </c>
      <c r="F6" s="18">
        <f>IF(AND(ISNUMBER(C6),ISNUMBER(E6)),C6*E6/1000,"")</f>
        <v/>
      </c>
    </row>
    <row r="7">
      <c r="A7" s="16" t="inlineStr">
        <is>
          <t>Refrigerant top-up (R410a)</t>
        </is>
      </c>
      <c r="B7" s="16" t="inlineStr">
        <is>
          <t>Fugitive, GWP-weighted</t>
        </is>
      </c>
      <c r="C7" s="17" t="n">
        <v>5</v>
      </c>
      <c r="D7" s="16" t="inlineStr">
        <is>
          <t>kg</t>
        </is>
      </c>
      <c r="E7" s="17" t="n">
        <v>2088</v>
      </c>
      <c r="F7" s="18">
        <f>IF(AND(ISNUMBER(C7),ISNUMBER(E7)),C7*E7/1000,"")</f>
        <v/>
      </c>
    </row>
    <row r="8">
      <c r="A8" s="8" t="n"/>
      <c r="B8" s="8" t="n"/>
      <c r="C8" s="8" t="n"/>
      <c r="D8" s="8" t="n"/>
      <c r="E8" s="8" t="n"/>
      <c r="F8" s="9">
        <f>IF(AND(ISNUMBER(C8),ISNUMBER(E8)),C8*E8/1000,"")</f>
        <v/>
      </c>
    </row>
    <row r="9">
      <c r="A9" s="8" t="n"/>
      <c r="B9" s="8" t="n"/>
      <c r="C9" s="8" t="n"/>
      <c r="D9" s="8" t="n"/>
      <c r="E9" s="8" t="n"/>
      <c r="F9" s="9">
        <f>IF(AND(ISNUMBER(C9),ISNUMBER(E9)),C9*E9/1000,"")</f>
        <v/>
      </c>
    </row>
    <row r="10">
      <c r="A10" s="8" t="n"/>
      <c r="B10" s="8" t="n"/>
      <c r="C10" s="8" t="n"/>
      <c r="D10" s="8" t="n"/>
      <c r="E10" s="8" t="n"/>
      <c r="F10" s="9">
        <f>IF(AND(ISNUMBER(C10),ISNUMBER(E10)),C10*E10/1000,"")</f>
        <v/>
      </c>
    </row>
    <row r="11">
      <c r="A11" s="8" t="n"/>
      <c r="B11" s="8" t="n"/>
      <c r="C11" s="8" t="n"/>
      <c r="D11" s="8" t="n"/>
      <c r="E11" s="8" t="n"/>
      <c r="F11" s="9">
        <f>IF(AND(ISNUMBER(C11),ISNUMBER(E11)),C11*E11/1000,"")</f>
        <v/>
      </c>
    </row>
    <row r="12">
      <c r="A12" s="8" t="n"/>
      <c r="B12" s="8" t="n"/>
      <c r="C12" s="8" t="n"/>
      <c r="D12" s="8" t="n"/>
      <c r="E12" s="8" t="n"/>
      <c r="F12" s="9">
        <f>IF(AND(ISNUMBER(C12),ISNUMBER(E12)),C12*E12/1000,"")</f>
        <v/>
      </c>
    </row>
    <row r="13">
      <c r="A13" s="8" t="n"/>
      <c r="B13" s="8" t="n"/>
      <c r="C13" s="8" t="n"/>
      <c r="D13" s="8" t="n"/>
      <c r="E13" s="8" t="n"/>
      <c r="F13" s="9">
        <f>IF(AND(ISNUMBER(C13),ISNUMBER(E13)),C13*E13/1000,"")</f>
        <v/>
      </c>
    </row>
    <row r="14">
      <c r="A14" s="8" t="n"/>
      <c r="B14" s="8" t="n"/>
      <c r="C14" s="8" t="n"/>
      <c r="D14" s="8" t="n"/>
      <c r="E14" s="8" t="n"/>
      <c r="F14" s="9">
        <f>IF(AND(ISNUMBER(C14),ISNUMBER(E14)),C14*E14/1000,"")</f>
        <v/>
      </c>
    </row>
    <row r="15">
      <c r="A15" s="8" t="n"/>
      <c r="B15" s="8" t="n"/>
      <c r="C15" s="8" t="n"/>
      <c r="D15" s="8" t="n"/>
      <c r="E15" s="8" t="n"/>
      <c r="F15" s="9">
        <f>IF(AND(ISNUMBER(C15),ISNUMBER(E15)),C15*E15/1000,"")</f>
        <v/>
      </c>
    </row>
    <row r="16">
      <c r="A16" s="8" t="n"/>
      <c r="B16" s="8" t="n"/>
      <c r="C16" s="8" t="n"/>
      <c r="D16" s="8" t="n"/>
      <c r="E16" s="8" t="n"/>
      <c r="F16" s="9">
        <f>IF(AND(ISNUMBER(C16),ISNUMBER(E16)),C16*E16/1000,"")</f>
        <v/>
      </c>
    </row>
    <row r="17">
      <c r="A17" s="8" t="n"/>
      <c r="B17" s="8" t="n"/>
      <c r="C17" s="8" t="n"/>
      <c r="D17" s="8" t="n"/>
      <c r="E17" s="8" t="n"/>
      <c r="F17" s="9">
        <f>IF(AND(ISNUMBER(C17),ISNUMBER(E17)),C17*E17/1000,"")</f>
        <v/>
      </c>
    </row>
    <row r="18">
      <c r="A18" s="8" t="n"/>
      <c r="B18" s="8" t="n"/>
      <c r="C18" s="8" t="n"/>
      <c r="D18" s="8" t="n"/>
      <c r="E18" s="8" t="n"/>
      <c r="F18" s="9">
        <f>IF(AND(ISNUMBER(C18),ISNUMBER(E18)),C18*E18/1000,"")</f>
        <v/>
      </c>
    </row>
    <row r="19">
      <c r="A19" s="8" t="n"/>
      <c r="B19" s="8" t="n"/>
      <c r="C19" s="8" t="n"/>
      <c r="D19" s="8" t="n"/>
      <c r="E19" s="8" t="n"/>
      <c r="F19" s="9">
        <f>IF(AND(ISNUMBER(C19),ISNUMBER(E19)),C19*E19/1000,"")</f>
        <v/>
      </c>
    </row>
    <row r="20">
      <c r="E20" s="19" t="inlineStr">
        <is>
          <t>Total</t>
        </is>
      </c>
      <c r="F20" s="12">
        <f>SUM(F5:F19)</f>
        <v/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12" customWidth="1" min="4" max="4"/>
    <col width="22" customWidth="1" min="5" max="5"/>
    <col width="18" customWidth="1" min="6" max="6"/>
  </cols>
  <sheetData>
    <row r="1">
      <c r="A1" s="6" t="inlineStr">
        <is>
          <t>2. Scope 2</t>
        </is>
      </c>
    </row>
    <row r="2">
      <c r="A2" s="14" t="inlineStr">
        <is>
          <t>Purchased energy. Enter location-based (grid average) and, where you have contracts, market-based factors.</t>
        </is>
      </c>
    </row>
    <row r="4" ht="28" customHeight="1">
      <c r="A4" s="15" t="inlineStr">
        <is>
          <t>Activity / source</t>
        </is>
      </c>
      <c r="B4" s="15" t="inlineStr">
        <is>
          <t>Notes</t>
        </is>
      </c>
      <c r="C4" s="15" t="inlineStr">
        <is>
          <t>Activity data</t>
        </is>
      </c>
      <c r="D4" s="15" t="inlineStr">
        <is>
          <t>Unit</t>
        </is>
      </c>
      <c r="E4" s="15" t="inlineStr">
        <is>
          <t>Emission factor (kgCO2e / unit)</t>
        </is>
      </c>
      <c r="F4" s="15" t="inlineStr">
        <is>
          <t>Emissions (tCO2e)</t>
        </is>
      </c>
    </row>
    <row r="5">
      <c r="A5" s="16" t="inlineStr">
        <is>
          <t>Electricity - location-based</t>
        </is>
      </c>
      <c r="B5" s="16" t="inlineStr">
        <is>
          <t>National grid average factor</t>
        </is>
      </c>
      <c r="C5" s="17" t="n">
        <v>250000</v>
      </c>
      <c r="D5" s="16" t="inlineStr">
        <is>
          <t>kWh</t>
        </is>
      </c>
      <c r="E5" s="17" t="n">
        <v>0.233</v>
      </c>
      <c r="F5" s="18">
        <f>IF(AND(ISNUMBER(C5),ISNUMBER(E5)),C5*E5/1000,"")</f>
        <v/>
      </c>
    </row>
    <row r="6">
      <c r="A6" s="16" t="inlineStr">
        <is>
          <t>Electricity - market-based</t>
        </is>
      </c>
      <c r="B6" s="16" t="inlineStr">
        <is>
          <t>Supplier/residual mix or REGO</t>
        </is>
      </c>
      <c r="C6" s="17" t="n">
        <v>250000</v>
      </c>
      <c r="D6" s="16" t="inlineStr">
        <is>
          <t>kWh</t>
        </is>
      </c>
      <c r="E6" s="17" t="n">
        <v>0</v>
      </c>
      <c r="F6" s="18">
        <f>IF(AND(ISNUMBER(C6),ISNUMBER(E6)),C6*E6/1000,"")</f>
        <v/>
      </c>
    </row>
    <row r="7">
      <c r="A7" s="16" t="inlineStr">
        <is>
          <t>District heating</t>
        </is>
      </c>
      <c r="B7" s="16" t="inlineStr">
        <is>
          <t>Purchased heat</t>
        </is>
      </c>
      <c r="C7" s="17" t="n">
        <v>40000</v>
      </c>
      <c r="D7" s="16" t="inlineStr">
        <is>
          <t>kWh</t>
        </is>
      </c>
      <c r="E7" s="17" t="n">
        <v>0.171</v>
      </c>
      <c r="F7" s="18">
        <f>IF(AND(ISNUMBER(C7),ISNUMBER(E7)),C7*E7/1000,"")</f>
        <v/>
      </c>
    </row>
    <row r="8">
      <c r="A8" s="8" t="n"/>
      <c r="B8" s="8" t="n"/>
      <c r="C8" s="8" t="n"/>
      <c r="D8" s="8" t="n"/>
      <c r="E8" s="8" t="n"/>
      <c r="F8" s="9">
        <f>IF(AND(ISNUMBER(C8),ISNUMBER(E8)),C8*E8/1000,"")</f>
        <v/>
      </c>
    </row>
    <row r="9">
      <c r="A9" s="8" t="n"/>
      <c r="B9" s="8" t="n"/>
      <c r="C9" s="8" t="n"/>
      <c r="D9" s="8" t="n"/>
      <c r="E9" s="8" t="n"/>
      <c r="F9" s="9">
        <f>IF(AND(ISNUMBER(C9),ISNUMBER(E9)),C9*E9/1000,"")</f>
        <v/>
      </c>
    </row>
    <row r="10">
      <c r="A10" s="8" t="n"/>
      <c r="B10" s="8" t="n"/>
      <c r="C10" s="8" t="n"/>
      <c r="D10" s="8" t="n"/>
      <c r="E10" s="8" t="n"/>
      <c r="F10" s="9">
        <f>IF(AND(ISNUMBER(C10),ISNUMBER(E10)),C10*E10/1000,"")</f>
        <v/>
      </c>
    </row>
    <row r="11">
      <c r="A11" s="8" t="n"/>
      <c r="B11" s="8" t="n"/>
      <c r="C11" s="8" t="n"/>
      <c r="D11" s="8" t="n"/>
      <c r="E11" s="8" t="n"/>
      <c r="F11" s="9">
        <f>IF(AND(ISNUMBER(C11),ISNUMBER(E11)),C11*E11/1000,"")</f>
        <v/>
      </c>
    </row>
    <row r="12">
      <c r="A12" s="8" t="n"/>
      <c r="B12" s="8" t="n"/>
      <c r="C12" s="8" t="n"/>
      <c r="D12" s="8" t="n"/>
      <c r="E12" s="8" t="n"/>
      <c r="F12" s="9">
        <f>IF(AND(ISNUMBER(C12),ISNUMBER(E12)),C12*E12/1000,"")</f>
        <v/>
      </c>
    </row>
    <row r="13">
      <c r="A13" s="8" t="n"/>
      <c r="B13" s="8" t="n"/>
      <c r="C13" s="8" t="n"/>
      <c r="D13" s="8" t="n"/>
      <c r="E13" s="8" t="n"/>
      <c r="F13" s="9">
        <f>IF(AND(ISNUMBER(C13),ISNUMBER(E13)),C13*E13/1000,"")</f>
        <v/>
      </c>
    </row>
    <row r="14">
      <c r="A14" s="8" t="n"/>
      <c r="B14" s="8" t="n"/>
      <c r="C14" s="8" t="n"/>
      <c r="D14" s="8" t="n"/>
      <c r="E14" s="8" t="n"/>
      <c r="F14" s="9">
        <f>IF(AND(ISNUMBER(C14),ISNUMBER(E14)),C14*E14/1000,"")</f>
        <v/>
      </c>
    </row>
    <row r="15">
      <c r="A15" s="8" t="n"/>
      <c r="B15" s="8" t="n"/>
      <c r="C15" s="8" t="n"/>
      <c r="D15" s="8" t="n"/>
      <c r="E15" s="8" t="n"/>
      <c r="F15" s="9">
        <f>IF(AND(ISNUMBER(C15),ISNUMBER(E15)),C15*E15/1000,"")</f>
        <v/>
      </c>
    </row>
    <row r="16">
      <c r="A16" s="8" t="n"/>
      <c r="B16" s="8" t="n"/>
      <c r="C16" s="8" t="n"/>
      <c r="D16" s="8" t="n"/>
      <c r="E16" s="8" t="n"/>
      <c r="F16" s="9">
        <f>IF(AND(ISNUMBER(C16),ISNUMBER(E16)),C16*E16/1000,"")</f>
        <v/>
      </c>
    </row>
    <row r="17">
      <c r="A17" s="8" t="n"/>
      <c r="B17" s="8" t="n"/>
      <c r="C17" s="8" t="n"/>
      <c r="D17" s="8" t="n"/>
      <c r="E17" s="8" t="n"/>
      <c r="F17" s="9">
        <f>IF(AND(ISNUMBER(C17),ISNUMBER(E17)),C17*E17/1000,"")</f>
        <v/>
      </c>
    </row>
    <row r="18">
      <c r="A18" s="8" t="n"/>
      <c r="B18" s="8" t="n"/>
      <c r="C18" s="8" t="n"/>
      <c r="D18" s="8" t="n"/>
      <c r="E18" s="8" t="n"/>
      <c r="F18" s="9">
        <f>IF(AND(ISNUMBER(C18),ISNUMBER(E18)),C18*E18/1000,"")</f>
        <v/>
      </c>
    </row>
    <row r="19">
      <c r="A19" s="8" t="n"/>
      <c r="B19" s="8" t="n"/>
      <c r="C19" s="8" t="n"/>
      <c r="D19" s="8" t="n"/>
      <c r="E19" s="8" t="n"/>
      <c r="F19" s="9">
        <f>IF(AND(ISNUMBER(C19),ISNUMBER(E19)),C19*E19/1000,"")</f>
        <v/>
      </c>
    </row>
    <row r="20">
      <c r="E20" s="19" t="inlineStr">
        <is>
          <t>Total</t>
        </is>
      </c>
      <c r="F20" s="12">
        <f>SUM(F5:F19)</f>
        <v/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20" customWidth="1" min="3" max="3"/>
    <col width="22" customWidth="1" min="4" max="4"/>
    <col width="20" customWidth="1" min="5" max="5"/>
    <col width="18" customWidth="1" min="6" max="6"/>
  </cols>
  <sheetData>
    <row r="1">
      <c r="A1" s="6" t="inlineStr">
        <is>
          <t>3. Scope 3</t>
        </is>
      </c>
    </row>
    <row r="2">
      <c r="A2" s="5" t="inlineStr">
        <is>
          <t>All other value-chain emissions across the 15 GHG Protocol categories (8 upstream, 7 downstream).</t>
        </is>
      </c>
    </row>
    <row r="4" ht="28" customHeight="1">
      <c r="A4" s="15" t="inlineStr">
        <is>
          <t>#</t>
        </is>
      </c>
      <c r="B4" s="15" t="inlineStr">
        <is>
          <t>Scope 3 category</t>
        </is>
      </c>
      <c r="C4" s="15" t="inlineStr">
        <is>
          <t>Upstream / downstream</t>
        </is>
      </c>
      <c r="D4" s="15" t="inlineStr">
        <is>
          <t>Activity data / spend</t>
        </is>
      </c>
      <c r="E4" s="15" t="inlineStr">
        <is>
          <t>Factor (kgCO2e/unit)</t>
        </is>
      </c>
      <c r="F4" s="15" t="inlineStr">
        <is>
          <t>Emissions (tCO2e)</t>
        </is>
      </c>
    </row>
    <row r="5">
      <c r="A5" s="8" t="n">
        <v>1</v>
      </c>
      <c r="B5" s="8" t="inlineStr">
        <is>
          <t>Purchased goods and services</t>
        </is>
      </c>
      <c r="C5" s="8" t="inlineStr">
        <is>
          <t>Upstream</t>
        </is>
      </c>
      <c r="D5" s="20" t="n"/>
      <c r="E5" s="20" t="n"/>
      <c r="F5" s="21">
        <f>IF(AND(ISNUMBER(D5),ISNUMBER(E5)),D5*E5/1000,"")</f>
        <v/>
      </c>
    </row>
    <row r="6">
      <c r="A6" s="8" t="n">
        <v>2</v>
      </c>
      <c r="B6" s="8" t="inlineStr">
        <is>
          <t>Capital goods</t>
        </is>
      </c>
      <c r="C6" s="8" t="inlineStr">
        <is>
          <t>Upstream</t>
        </is>
      </c>
      <c r="D6" s="20" t="n"/>
      <c r="E6" s="20" t="n"/>
      <c r="F6" s="21">
        <f>IF(AND(ISNUMBER(D6),ISNUMBER(E6)),D6*E6/1000,"")</f>
        <v/>
      </c>
    </row>
    <row r="7">
      <c r="A7" s="8" t="n">
        <v>3</v>
      </c>
      <c r="B7" s="8" t="inlineStr">
        <is>
          <t>Fuel- and energy-related activities</t>
        </is>
      </c>
      <c r="C7" s="8" t="inlineStr">
        <is>
          <t>Upstream</t>
        </is>
      </c>
      <c r="D7" s="20" t="n"/>
      <c r="E7" s="20" t="n"/>
      <c r="F7" s="21">
        <f>IF(AND(ISNUMBER(D7),ISNUMBER(E7)),D7*E7/1000,"")</f>
        <v/>
      </c>
    </row>
    <row r="8">
      <c r="A8" s="8" t="n">
        <v>4</v>
      </c>
      <c r="B8" s="8" t="inlineStr">
        <is>
          <t>Upstream transportation and distribution</t>
        </is>
      </c>
      <c r="C8" s="8" t="inlineStr">
        <is>
          <t>Upstream</t>
        </is>
      </c>
      <c r="D8" s="20" t="n"/>
      <c r="E8" s="20" t="n"/>
      <c r="F8" s="21">
        <f>IF(AND(ISNUMBER(D8),ISNUMBER(E8)),D8*E8/1000,"")</f>
        <v/>
      </c>
    </row>
    <row r="9">
      <c r="A9" s="8" t="n">
        <v>5</v>
      </c>
      <c r="B9" s="8" t="inlineStr">
        <is>
          <t>Waste generated in operations</t>
        </is>
      </c>
      <c r="C9" s="8" t="inlineStr">
        <is>
          <t>Upstream</t>
        </is>
      </c>
      <c r="D9" s="20" t="n"/>
      <c r="E9" s="20" t="n"/>
      <c r="F9" s="21">
        <f>IF(AND(ISNUMBER(D9),ISNUMBER(E9)),D9*E9/1000,"")</f>
        <v/>
      </c>
    </row>
    <row r="10">
      <c r="A10" s="8" t="n">
        <v>6</v>
      </c>
      <c r="B10" s="8" t="inlineStr">
        <is>
          <t>Business travel</t>
        </is>
      </c>
      <c r="C10" s="8" t="inlineStr">
        <is>
          <t>Upstream</t>
        </is>
      </c>
      <c r="D10" s="20" t="n"/>
      <c r="E10" s="20" t="n"/>
      <c r="F10" s="21">
        <f>IF(AND(ISNUMBER(D10),ISNUMBER(E10)),D10*E10/1000,"")</f>
        <v/>
      </c>
    </row>
    <row r="11">
      <c r="A11" s="8" t="n">
        <v>7</v>
      </c>
      <c r="B11" s="8" t="inlineStr">
        <is>
          <t>Employee commuting</t>
        </is>
      </c>
      <c r="C11" s="8" t="inlineStr">
        <is>
          <t>Upstream</t>
        </is>
      </c>
      <c r="D11" s="20" t="n"/>
      <c r="E11" s="20" t="n"/>
      <c r="F11" s="21">
        <f>IF(AND(ISNUMBER(D11),ISNUMBER(E11)),D11*E11/1000,"")</f>
        <v/>
      </c>
    </row>
    <row r="12">
      <c r="A12" s="8" t="n">
        <v>8</v>
      </c>
      <c r="B12" s="8" t="inlineStr">
        <is>
          <t>Upstream leased assets</t>
        </is>
      </c>
      <c r="C12" s="8" t="inlineStr">
        <is>
          <t>Upstream</t>
        </is>
      </c>
      <c r="D12" s="20" t="n"/>
      <c r="E12" s="20" t="n"/>
      <c r="F12" s="21">
        <f>IF(AND(ISNUMBER(D12),ISNUMBER(E12)),D12*E12/1000,"")</f>
        <v/>
      </c>
    </row>
    <row r="13">
      <c r="A13" s="8" t="n">
        <v>9</v>
      </c>
      <c r="B13" s="8" t="inlineStr">
        <is>
          <t>Downstream transportation and distribution</t>
        </is>
      </c>
      <c r="C13" s="8" t="inlineStr">
        <is>
          <t>Downstream</t>
        </is>
      </c>
      <c r="D13" s="20" t="n"/>
      <c r="E13" s="20" t="n"/>
      <c r="F13" s="21">
        <f>IF(AND(ISNUMBER(D13),ISNUMBER(E13)),D13*E13/1000,"")</f>
        <v/>
      </c>
    </row>
    <row r="14">
      <c r="A14" s="8" t="n">
        <v>10</v>
      </c>
      <c r="B14" s="8" t="inlineStr">
        <is>
          <t>Processing of sold products</t>
        </is>
      </c>
      <c r="C14" s="8" t="inlineStr">
        <is>
          <t>Downstream</t>
        </is>
      </c>
      <c r="D14" s="20" t="n"/>
      <c r="E14" s="20" t="n"/>
      <c r="F14" s="21">
        <f>IF(AND(ISNUMBER(D14),ISNUMBER(E14)),D14*E14/1000,"")</f>
        <v/>
      </c>
    </row>
    <row r="15">
      <c r="A15" s="8" t="n">
        <v>11</v>
      </c>
      <c r="B15" s="8" t="inlineStr">
        <is>
          <t>Use of sold products</t>
        </is>
      </c>
      <c r="C15" s="8" t="inlineStr">
        <is>
          <t>Downstream</t>
        </is>
      </c>
      <c r="D15" s="20" t="n"/>
      <c r="E15" s="20" t="n"/>
      <c r="F15" s="21">
        <f>IF(AND(ISNUMBER(D15),ISNUMBER(E15)),D15*E15/1000,"")</f>
        <v/>
      </c>
    </row>
    <row r="16">
      <c r="A16" s="8" t="n">
        <v>12</v>
      </c>
      <c r="B16" s="8" t="inlineStr">
        <is>
          <t>End-of-life treatment of sold products</t>
        </is>
      </c>
      <c r="C16" s="8" t="inlineStr">
        <is>
          <t>Downstream</t>
        </is>
      </c>
      <c r="D16" s="20" t="n"/>
      <c r="E16" s="20" t="n"/>
      <c r="F16" s="21">
        <f>IF(AND(ISNUMBER(D16),ISNUMBER(E16)),D16*E16/1000,"")</f>
        <v/>
      </c>
    </row>
    <row r="17">
      <c r="A17" s="8" t="n">
        <v>13</v>
      </c>
      <c r="B17" s="8" t="inlineStr">
        <is>
          <t>Downstream leased assets</t>
        </is>
      </c>
      <c r="C17" s="8" t="inlineStr">
        <is>
          <t>Downstream</t>
        </is>
      </c>
      <c r="D17" s="20" t="n"/>
      <c r="E17" s="20" t="n"/>
      <c r="F17" s="21">
        <f>IF(AND(ISNUMBER(D17),ISNUMBER(E17)),D17*E17/1000,"")</f>
        <v/>
      </c>
    </row>
    <row r="18">
      <c r="A18" s="8" t="n">
        <v>14</v>
      </c>
      <c r="B18" s="8" t="inlineStr">
        <is>
          <t>Franchises</t>
        </is>
      </c>
      <c r="C18" s="8" t="inlineStr">
        <is>
          <t>Downstream</t>
        </is>
      </c>
      <c r="D18" s="20" t="n"/>
      <c r="E18" s="20" t="n"/>
      <c r="F18" s="21">
        <f>IF(AND(ISNUMBER(D18),ISNUMBER(E18)),D18*E18/1000,"")</f>
        <v/>
      </c>
    </row>
    <row r="19">
      <c r="A19" s="8" t="n">
        <v>15</v>
      </c>
      <c r="B19" s="8" t="inlineStr">
        <is>
          <t>Investments</t>
        </is>
      </c>
      <c r="C19" s="8" t="inlineStr">
        <is>
          <t>Downstream</t>
        </is>
      </c>
      <c r="D19" s="20" t="n"/>
      <c r="E19" s="20" t="n"/>
      <c r="F19" s="21">
        <f>IF(AND(ISNUMBER(D19),ISNUMBER(E19)),D19*E19/1000,"")</f>
        <v/>
      </c>
    </row>
    <row r="20">
      <c r="E20" s="19" t="inlineStr">
        <is>
          <t>Total</t>
        </is>
      </c>
      <c r="F20" s="12">
        <f>SUM(F5:F19)</f>
        <v/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12" customWidth="1" min="4" max="4"/>
    <col width="40" customWidth="1" min="5" max="5"/>
  </cols>
  <sheetData>
    <row r="1">
      <c r="A1" s="6" t="inlineStr">
        <is>
          <t>Emission-factor library (starter)</t>
        </is>
      </c>
    </row>
    <row r="2">
      <c r="A2" s="5" t="inlineStr">
        <is>
          <t>Indicative starter factors. Replace with dated, source-cited factors for your country and reporting year.</t>
        </is>
      </c>
    </row>
    <row r="4" ht="28" customHeight="1">
      <c r="A4" s="15" t="inlineStr">
        <is>
          <t>Activity</t>
        </is>
      </c>
      <c r="B4" s="15" t="inlineStr">
        <is>
          <t>Factor</t>
        </is>
      </c>
      <c r="C4" s="15" t="inlineStr">
        <is>
          <t>Unit</t>
        </is>
      </c>
      <c r="D4" s="15" t="inlineStr">
        <is>
          <t>Scope</t>
        </is>
      </c>
      <c r="E4" s="15" t="inlineStr">
        <is>
          <t>Source / note</t>
        </is>
      </c>
    </row>
    <row r="5">
      <c r="A5" s="8" t="inlineStr">
        <is>
          <t>Natural gas</t>
        </is>
      </c>
      <c r="B5" s="22" t="n">
        <v>0.182</v>
      </c>
      <c r="C5" s="8" t="inlineStr">
        <is>
          <t>kgCO2e/kWh</t>
        </is>
      </c>
      <c r="D5" s="8" t="inlineStr">
        <is>
          <t>1</t>
        </is>
      </c>
      <c r="E5" s="8" t="inlineStr">
        <is>
          <t>Replace with national factor (e.g. DEFRA/UBA)</t>
        </is>
      </c>
    </row>
    <row r="6">
      <c r="A6" s="8" t="inlineStr">
        <is>
          <t>Diesel (mobile)</t>
        </is>
      </c>
      <c r="B6" s="22" t="n">
        <v>2.51</v>
      </c>
      <c r="C6" s="8" t="inlineStr">
        <is>
          <t>kgCO2e/litre</t>
        </is>
      </c>
      <c r="D6" s="8" t="inlineStr">
        <is>
          <t>1</t>
        </is>
      </c>
      <c r="E6" s="8" t="inlineStr">
        <is>
          <t>Well-to-wheel varies; use national factor</t>
        </is>
      </c>
    </row>
    <row r="7">
      <c r="A7" s="8" t="inlineStr">
        <is>
          <t>Petrol (mobile)</t>
        </is>
      </c>
      <c r="B7" s="22" t="n">
        <v>2.19</v>
      </c>
      <c r="C7" s="8" t="inlineStr">
        <is>
          <t>kgCO2e/litre</t>
        </is>
      </c>
      <c r="D7" s="8" t="inlineStr">
        <is>
          <t>1</t>
        </is>
      </c>
      <c r="E7" s="8" t="inlineStr">
        <is>
          <t>National factor</t>
        </is>
      </c>
    </row>
    <row r="8">
      <c r="A8" s="8" t="inlineStr">
        <is>
          <t>Refrigerant R410a</t>
        </is>
      </c>
      <c r="B8" s="22" t="n">
        <v>2088</v>
      </c>
      <c r="C8" s="8" t="inlineStr">
        <is>
          <t>kgCO2e/kg</t>
        </is>
      </c>
      <c r="D8" s="8" t="inlineStr">
        <is>
          <t>1</t>
        </is>
      </c>
      <c r="E8" s="8" t="inlineStr">
        <is>
          <t>GWP100 (IPCC AR5)</t>
        </is>
      </c>
    </row>
    <row r="9">
      <c r="A9" s="8" t="inlineStr">
        <is>
          <t>Electricity - EU avg (location)</t>
        </is>
      </c>
      <c r="B9" s="22" t="n">
        <v>0.233</v>
      </c>
      <c r="C9" s="8" t="inlineStr">
        <is>
          <t>kgCO2e/kWh</t>
        </is>
      </c>
      <c r="D9" s="8" t="inlineStr">
        <is>
          <t>2</t>
        </is>
      </c>
      <c r="E9" s="8" t="inlineStr">
        <is>
          <t>Use your national grid factor</t>
        </is>
      </c>
    </row>
    <row r="10">
      <c r="A10" s="8" t="inlineStr">
        <is>
          <t>Electricity - market-based</t>
        </is>
      </c>
      <c r="B10" s="22" t="n">
        <v>0</v>
      </c>
      <c r="C10" s="8" t="inlineStr">
        <is>
          <t>kgCO2e/kWh</t>
        </is>
      </c>
      <c r="D10" s="8" t="inlineStr">
        <is>
          <t>2</t>
        </is>
      </c>
      <c r="E10" s="8" t="inlineStr">
        <is>
          <t>Per supplier/residual mix or contract</t>
        </is>
      </c>
    </row>
    <row r="11">
      <c r="A11" s="8" t="inlineStr">
        <is>
          <t>District heating</t>
        </is>
      </c>
      <c r="B11" s="22" t="n">
        <v>0.171</v>
      </c>
      <c r="C11" s="8" t="inlineStr">
        <is>
          <t>kgCO2e/kWh</t>
        </is>
      </c>
      <c r="D11" s="8" t="inlineStr">
        <is>
          <t>2</t>
        </is>
      </c>
      <c r="E11" s="8" t="inlineStr">
        <is>
          <t>Network-specific</t>
        </is>
      </c>
    </row>
    <row r="12">
      <c r="A12" s="8" t="inlineStr">
        <is>
          <t>Air travel - short haul</t>
        </is>
      </c>
      <c r="B12" s="22" t="n">
        <v>0.158</v>
      </c>
      <c r="C12" s="8" t="inlineStr">
        <is>
          <t>kgCO2e/pkm</t>
        </is>
      </c>
      <c r="D12" s="8" t="inlineStr">
        <is>
          <t>3 (cat 6)</t>
        </is>
      </c>
      <c r="E12" s="8" t="inlineStr">
        <is>
          <t>Per passenger-km</t>
        </is>
      </c>
    </row>
    <row r="13">
      <c r="A13" s="8" t="inlineStr">
        <is>
          <t>Air travel - long haul</t>
        </is>
      </c>
      <c r="B13" s="22" t="n">
        <v>0.195</v>
      </c>
      <c r="C13" s="8" t="inlineStr">
        <is>
          <t>kgCO2e/pkm</t>
        </is>
      </c>
      <c r="D13" s="8" t="inlineStr">
        <is>
          <t>3 (cat 6)</t>
        </is>
      </c>
      <c r="E13" s="8" t="inlineStr">
        <is>
          <t>Per passenger-km</t>
        </is>
      </c>
    </row>
    <row r="14">
      <c r="A14" s="8" t="inlineStr">
        <is>
          <t>Rail travel</t>
        </is>
      </c>
      <c r="B14" s="22" t="n">
        <v>0.035</v>
      </c>
      <c r="C14" s="8" t="inlineStr">
        <is>
          <t>kgCO2e/pkm</t>
        </is>
      </c>
      <c r="D14" s="8" t="inlineStr">
        <is>
          <t>3 (cat 6/7)</t>
        </is>
      </c>
      <c r="E14" s="8" t="inlineStr">
        <is>
          <t>Per passenger-km</t>
        </is>
      </c>
    </row>
    <row r="15">
      <c r="A15" s="8" t="inlineStr">
        <is>
          <t>Car - average</t>
        </is>
      </c>
      <c r="B15" s="22" t="n">
        <v>0.17</v>
      </c>
      <c r="C15" s="8" t="inlineStr">
        <is>
          <t>kgCO2e/km</t>
        </is>
      </c>
      <c r="D15" s="8" t="inlineStr">
        <is>
          <t>3 (cat 6/7)</t>
        </is>
      </c>
      <c r="E15" s="8" t="inlineStr">
        <is>
          <t>Per vehicle-km</t>
        </is>
      </c>
    </row>
    <row r="16">
      <c r="A16" s="8" t="inlineStr">
        <is>
          <t>Road freight (HGV)</t>
        </is>
      </c>
      <c r="B16" s="22" t="n">
        <v>0.105</v>
      </c>
      <c r="C16" s="8" t="inlineStr">
        <is>
          <t>kgCO2e/t-km</t>
        </is>
      </c>
      <c r="D16" s="8" t="inlineStr">
        <is>
          <t>3 (cat 4/9)</t>
        </is>
      </c>
      <c r="E16" s="8" t="inlineStr">
        <is>
          <t>Per tonne-km</t>
        </is>
      </c>
    </row>
    <row r="17">
      <c r="A17" s="8" t="inlineStr">
        <is>
          <t>Spend-based (generic goods)</t>
        </is>
      </c>
      <c r="B17" s="22" t="n">
        <v>0.4</v>
      </c>
      <c r="C17" s="8" t="inlineStr">
        <is>
          <t>kgCO2e/EUR</t>
        </is>
      </c>
      <c r="D17" s="8" t="inlineStr">
        <is>
          <t>3 (cat 1)</t>
        </is>
      </c>
      <c r="E17" s="8" t="inlineStr">
        <is>
          <t>Use EEIO factors; sector-specific</t>
        </is>
      </c>
    </row>
    <row r="18">
      <c r="A18" s="8" t="inlineStr">
        <is>
          <t>Waste to landfill (mixed)</t>
        </is>
      </c>
      <c r="B18" s="22" t="n">
        <v>450</v>
      </c>
      <c r="C18" s="8" t="inlineStr">
        <is>
          <t>kgCO2e/tonne</t>
        </is>
      </c>
      <c r="D18" s="8" t="inlineStr">
        <is>
          <t>3 (cat 5)</t>
        </is>
      </c>
      <c r="E18" s="8" t="inlineStr">
        <is>
          <t>Method-dependent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2026-06-08T15:52:16Z</dcterms:created>
  <dcterms:modified xsi:type="dcterms:W3CDTF">2026-06-08T15:52:16Z</dcterms:modified>
</cp:coreProperties>
</file>